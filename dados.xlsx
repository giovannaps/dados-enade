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6834e28ca88343/Documentos/"/>
    </mc:Choice>
  </mc:AlternateContent>
  <xr:revisionPtr revIDLastSave="612" documentId="8_{473C70B2-F8AF-48C6-9875-3B718814879A}" xr6:coauthVersionLast="47" xr6:coauthVersionMax="47" xr10:uidLastSave="{25AECFF1-E3F2-4AFA-AF21-8910662BF956}"/>
  <bookViews>
    <workbookView xWindow="-108" yWindow="-108" windowWidth="23256" windowHeight="12456" xr2:uid="{16DCB35F-0991-43FD-9193-C7541CD7EF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  <c r="H86" i="1"/>
  <c r="G86" i="1"/>
  <c r="I79" i="1"/>
  <c r="H79" i="1"/>
  <c r="G79" i="1"/>
  <c r="I74" i="1"/>
  <c r="H74" i="1"/>
  <c r="G74" i="1"/>
  <c r="I66" i="1"/>
  <c r="H66" i="1"/>
  <c r="G66" i="1"/>
  <c r="I61" i="1"/>
  <c r="H61" i="1"/>
  <c r="G61" i="1"/>
  <c r="I57" i="1"/>
  <c r="H57" i="1"/>
  <c r="G57" i="1"/>
  <c r="I50" i="1"/>
  <c r="H50" i="1"/>
  <c r="G50" i="1"/>
  <c r="I46" i="1"/>
  <c r="H46" i="1"/>
  <c r="G46" i="1"/>
  <c r="I42" i="1"/>
  <c r="H42" i="1"/>
  <c r="G42" i="1"/>
  <c r="I37" i="1"/>
  <c r="H37" i="1"/>
  <c r="G37" i="1"/>
  <c r="I33" i="1"/>
  <c r="H33" i="1"/>
  <c r="G33" i="1"/>
  <c r="I28" i="1"/>
  <c r="H28" i="1"/>
  <c r="G28" i="1"/>
  <c r="I22" i="1"/>
  <c r="H22" i="1"/>
  <c r="G22" i="1"/>
  <c r="I16" i="1"/>
  <c r="H16" i="1"/>
  <c r="G16" i="1"/>
  <c r="I10" i="1"/>
  <c r="H10" i="1"/>
  <c r="G10" i="1"/>
  <c r="I5" i="1"/>
  <c r="H5" i="1"/>
  <c r="G5" i="1"/>
</calcChain>
</file>

<file path=xl/sharedStrings.xml><?xml version="1.0" encoding="utf-8"?>
<sst xmlns="http://schemas.openxmlformats.org/spreadsheetml/2006/main" count="350" uniqueCount="37">
  <si>
    <t>ANO</t>
  </si>
  <si>
    <t>CONCEITO</t>
  </si>
  <si>
    <t>UNIVERSIDADE</t>
  </si>
  <si>
    <t>CURSO</t>
  </si>
  <si>
    <t>MODALIDADE</t>
  </si>
  <si>
    <t>CAMPUS</t>
  </si>
  <si>
    <t>INCLINAÇÃO</t>
  </si>
  <si>
    <t>INTERSECÇÃO</t>
  </si>
  <si>
    <t>PREVISÃO</t>
  </si>
  <si>
    <t>CONCEITO FAIXA</t>
  </si>
  <si>
    <t>UFAL</t>
  </si>
  <si>
    <t>ECOMP</t>
  </si>
  <si>
    <t>Presencial</t>
  </si>
  <si>
    <t>Maceió</t>
  </si>
  <si>
    <t>UFBA</t>
  </si>
  <si>
    <t>Salvador</t>
  </si>
  <si>
    <t>UNIFACS</t>
  </si>
  <si>
    <t>FAINOR</t>
  </si>
  <si>
    <t>IFCE</t>
  </si>
  <si>
    <t>Fortaleza</t>
  </si>
  <si>
    <t>Sobral</t>
  </si>
  <si>
    <t>UFC SOBRAL</t>
  </si>
  <si>
    <t>UFC FORTALEZA</t>
  </si>
  <si>
    <t>UNIFOR</t>
  </si>
  <si>
    <t>UFPB</t>
  </si>
  <si>
    <t>João Pessoa</t>
  </si>
  <si>
    <t>UNINASSAU</t>
  </si>
  <si>
    <t>Recife</t>
  </si>
  <si>
    <t>UFPE</t>
  </si>
  <si>
    <t>São Luís</t>
  </si>
  <si>
    <t>UFMA</t>
  </si>
  <si>
    <t>UEMA</t>
  </si>
  <si>
    <t>UFRN</t>
  </si>
  <si>
    <t>Natal</t>
  </si>
  <si>
    <t xml:space="preserve">Pau dos Ferros </t>
  </si>
  <si>
    <t>UFERSA</t>
  </si>
  <si>
    <t>UNP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</si>
</sst>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03DA-04E3-4D11-BF33-E22F114517F5}">
  <dimension ref="A1:J86"/>
  <sheetViews>
    <sheetView tabSelected="1" topLeftCell="A57" workbookViewId="0">
      <selection activeCell="L83" sqref="L83"/>
    </sheetView>
  </sheetViews>
  <sheetFormatPr defaultRowHeight="14.4" x14ac:dyDescent="0.3"/>
  <cols>
    <col min="2" max="2" width="9.44140625" customWidth="1"/>
    <col min="3" max="3" width="13.5546875" customWidth="1"/>
    <col min="4" max="4" width="6.77734375" customWidth="1"/>
    <col min="5" max="5" width="11.5546875" customWidth="1"/>
    <col min="6" max="6" width="12.21875" customWidth="1"/>
    <col min="7" max="7" width="10.88671875" customWidth="1"/>
    <col min="8" max="8" width="12.21875" customWidth="1"/>
    <col min="10" max="10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2017</v>
      </c>
      <c r="B2">
        <v>5</v>
      </c>
      <c r="C2" t="s">
        <v>10</v>
      </c>
      <c r="D2" t="s">
        <v>11</v>
      </c>
      <c r="E2" t="s">
        <v>12</v>
      </c>
      <c r="F2" t="s">
        <v>13</v>
      </c>
    </row>
    <row r="3" spans="1:10" x14ac:dyDescent="0.3">
      <c r="A3">
        <v>2019</v>
      </c>
      <c r="B3">
        <v>4</v>
      </c>
      <c r="C3" t="s">
        <v>10</v>
      </c>
      <c r="D3" t="s">
        <v>11</v>
      </c>
      <c r="E3" t="s">
        <v>12</v>
      </c>
      <c r="F3" t="s">
        <v>13</v>
      </c>
    </row>
    <row r="4" spans="1:10" x14ac:dyDescent="0.3">
      <c r="A4">
        <v>2023</v>
      </c>
      <c r="B4">
        <v>4</v>
      </c>
      <c r="C4" t="s">
        <v>10</v>
      </c>
      <c r="D4" t="s">
        <v>11</v>
      </c>
      <c r="E4" t="s">
        <v>12</v>
      </c>
      <c r="F4" t="s">
        <v>13</v>
      </c>
    </row>
    <row r="5" spans="1:10" x14ac:dyDescent="0.3">
      <c r="A5">
        <v>2026</v>
      </c>
      <c r="B5">
        <v>3</v>
      </c>
      <c r="C5" t="s">
        <v>10</v>
      </c>
      <c r="D5" t="s">
        <v>11</v>
      </c>
      <c r="E5" t="s">
        <v>12</v>
      </c>
      <c r="F5" t="s">
        <v>13</v>
      </c>
      <c r="G5">
        <f>SLOPE(B2:B4,A2:A4)</f>
        <v>-0.14285714285714288</v>
      </c>
      <c r="H5">
        <f>INTERCEPT(B2:B4,A2:A4)</f>
        <v>292.85714285714289</v>
      </c>
      <c r="I5">
        <f>_xlfn.FORECAST.LINEAR(2026,B2:B4,A2:A4)</f>
        <v>3.4285714285714448</v>
      </c>
      <c r="J5">
        <v>3</v>
      </c>
    </row>
    <row r="6" spans="1:10" x14ac:dyDescent="0.3">
      <c r="A6">
        <v>2014</v>
      </c>
      <c r="B6">
        <v>4</v>
      </c>
      <c r="C6" t="s">
        <v>14</v>
      </c>
      <c r="D6" t="s">
        <v>11</v>
      </c>
      <c r="E6" t="s">
        <v>12</v>
      </c>
      <c r="F6" t="s">
        <v>15</v>
      </c>
    </row>
    <row r="7" spans="1:10" x14ac:dyDescent="0.3">
      <c r="A7">
        <v>2017</v>
      </c>
      <c r="B7">
        <v>4</v>
      </c>
      <c r="C7" t="s">
        <v>14</v>
      </c>
      <c r="D7" t="s">
        <v>11</v>
      </c>
      <c r="E7" t="s">
        <v>12</v>
      </c>
      <c r="F7" t="s">
        <v>15</v>
      </c>
    </row>
    <row r="8" spans="1:10" x14ac:dyDescent="0.3">
      <c r="A8">
        <v>2019</v>
      </c>
      <c r="B8">
        <v>4</v>
      </c>
      <c r="C8" t="s">
        <v>14</v>
      </c>
      <c r="D8" t="s">
        <v>11</v>
      </c>
      <c r="E8" t="s">
        <v>12</v>
      </c>
      <c r="F8" t="s">
        <v>15</v>
      </c>
    </row>
    <row r="9" spans="1:10" x14ac:dyDescent="0.3">
      <c r="A9">
        <v>2023</v>
      </c>
      <c r="B9">
        <v>4</v>
      </c>
      <c r="C9" t="s">
        <v>14</v>
      </c>
      <c r="D9" t="s">
        <v>11</v>
      </c>
      <c r="E9" t="s">
        <v>12</v>
      </c>
      <c r="F9" t="s">
        <v>15</v>
      </c>
    </row>
    <row r="10" spans="1:10" x14ac:dyDescent="0.3">
      <c r="A10">
        <v>2026</v>
      </c>
      <c r="B10">
        <v>4</v>
      </c>
      <c r="C10" t="s">
        <v>14</v>
      </c>
      <c r="D10" t="s">
        <v>11</v>
      </c>
      <c r="E10" t="s">
        <v>12</v>
      </c>
      <c r="F10" t="s">
        <v>15</v>
      </c>
      <c r="G10">
        <f>SLOPE(B6:B9,A6:A9)</f>
        <v>0</v>
      </c>
      <c r="H10">
        <f>INTERCEPT(B6:B9,A6:A9)</f>
        <v>4</v>
      </c>
      <c r="I10">
        <f>_xlfn.FORECAST.LINEAR(2026,B6:B9,A6:A9)</f>
        <v>4</v>
      </c>
      <c r="J10">
        <v>4</v>
      </c>
    </row>
    <row r="11" spans="1:10" x14ac:dyDescent="0.3">
      <c r="A11">
        <v>2011</v>
      </c>
      <c r="B11">
        <v>2</v>
      </c>
      <c r="C11" t="s">
        <v>16</v>
      </c>
      <c r="D11" t="s">
        <v>11</v>
      </c>
      <c r="E11" t="s">
        <v>12</v>
      </c>
      <c r="F11" t="s">
        <v>15</v>
      </c>
    </row>
    <row r="12" spans="1:10" x14ac:dyDescent="0.3">
      <c r="A12">
        <v>2014</v>
      </c>
      <c r="B12">
        <v>3</v>
      </c>
      <c r="C12" t="s">
        <v>16</v>
      </c>
      <c r="D12" t="s">
        <v>11</v>
      </c>
      <c r="E12" t="s">
        <v>12</v>
      </c>
      <c r="F12" t="s">
        <v>15</v>
      </c>
    </row>
    <row r="13" spans="1:10" x14ac:dyDescent="0.3">
      <c r="A13">
        <v>2017</v>
      </c>
      <c r="B13">
        <v>4</v>
      </c>
      <c r="C13" t="s">
        <v>16</v>
      </c>
      <c r="D13" t="s">
        <v>11</v>
      </c>
      <c r="E13" t="s">
        <v>12</v>
      </c>
      <c r="F13" t="s">
        <v>15</v>
      </c>
    </row>
    <row r="14" spans="1:10" x14ac:dyDescent="0.3">
      <c r="A14">
        <v>2019</v>
      </c>
      <c r="B14">
        <v>3</v>
      </c>
      <c r="C14" t="s">
        <v>16</v>
      </c>
      <c r="D14" t="s">
        <v>11</v>
      </c>
      <c r="E14" t="s">
        <v>12</v>
      </c>
      <c r="F14" t="s">
        <v>15</v>
      </c>
    </row>
    <row r="15" spans="1:10" x14ac:dyDescent="0.3">
      <c r="A15">
        <v>2023</v>
      </c>
      <c r="B15">
        <v>3</v>
      </c>
      <c r="C15" t="s">
        <v>16</v>
      </c>
      <c r="D15" t="s">
        <v>11</v>
      </c>
      <c r="E15" t="s">
        <v>12</v>
      </c>
      <c r="F15" t="s">
        <v>15</v>
      </c>
    </row>
    <row r="16" spans="1:10" x14ac:dyDescent="0.3">
      <c r="A16">
        <v>2026</v>
      </c>
      <c r="B16">
        <v>4</v>
      </c>
      <c r="C16" t="s">
        <v>16</v>
      </c>
      <c r="D16" t="s">
        <v>11</v>
      </c>
      <c r="E16" t="s">
        <v>12</v>
      </c>
      <c r="F16" t="s">
        <v>15</v>
      </c>
      <c r="G16">
        <f>SLOPE(B11:B15,A11:A15)</f>
        <v>7.075471698113206E-2</v>
      </c>
      <c r="H16">
        <f>INTERCEPT(B11:B15,A11:A15)</f>
        <v>-139.69811320754712</v>
      </c>
      <c r="I16">
        <f>_xlfn.FORECAST.LINEAR(2026,B11:B15,A11:A15)</f>
        <v>3.6509433962264382</v>
      </c>
      <c r="J16">
        <v>4</v>
      </c>
    </row>
    <row r="17" spans="1:10" x14ac:dyDescent="0.3">
      <c r="A17">
        <v>2008</v>
      </c>
      <c r="B17">
        <v>2</v>
      </c>
      <c r="C17" t="s">
        <v>17</v>
      </c>
      <c r="D17" t="s">
        <v>11</v>
      </c>
      <c r="E17" t="s">
        <v>12</v>
      </c>
      <c r="F17" t="s">
        <v>15</v>
      </c>
    </row>
    <row r="18" spans="1:10" x14ac:dyDescent="0.3">
      <c r="A18">
        <v>2014</v>
      </c>
      <c r="B18">
        <v>2</v>
      </c>
      <c r="C18" t="s">
        <v>17</v>
      </c>
      <c r="D18" t="s">
        <v>11</v>
      </c>
      <c r="E18" t="s">
        <v>12</v>
      </c>
      <c r="F18" t="s">
        <v>15</v>
      </c>
    </row>
    <row r="19" spans="1:10" x14ac:dyDescent="0.3">
      <c r="A19">
        <v>2017</v>
      </c>
      <c r="B19">
        <v>2</v>
      </c>
      <c r="C19" t="s">
        <v>17</v>
      </c>
      <c r="D19" t="s">
        <v>11</v>
      </c>
      <c r="E19" t="s">
        <v>12</v>
      </c>
      <c r="F19" t="s">
        <v>15</v>
      </c>
    </row>
    <row r="20" spans="1:10" x14ac:dyDescent="0.3">
      <c r="A20">
        <v>2019</v>
      </c>
      <c r="B20">
        <v>2</v>
      </c>
      <c r="C20" t="s">
        <v>17</v>
      </c>
      <c r="D20" t="s">
        <v>11</v>
      </c>
      <c r="E20" t="s">
        <v>12</v>
      </c>
      <c r="F20" t="s">
        <v>15</v>
      </c>
    </row>
    <row r="21" spans="1:10" x14ac:dyDescent="0.3">
      <c r="A21">
        <v>2023</v>
      </c>
      <c r="B21">
        <v>3</v>
      </c>
      <c r="C21" t="s">
        <v>17</v>
      </c>
      <c r="D21" t="s">
        <v>11</v>
      </c>
      <c r="E21" t="s">
        <v>12</v>
      </c>
      <c r="F21" t="s">
        <v>15</v>
      </c>
    </row>
    <row r="22" spans="1:10" x14ac:dyDescent="0.3">
      <c r="A22">
        <v>2026</v>
      </c>
      <c r="B22">
        <v>3</v>
      </c>
      <c r="C22" t="s">
        <v>17</v>
      </c>
      <c r="D22" t="s">
        <v>11</v>
      </c>
      <c r="E22" t="s">
        <v>12</v>
      </c>
      <c r="F22" t="s">
        <v>15</v>
      </c>
      <c r="G22">
        <f>SLOPE(B17:B21,A17:A21)</f>
        <v>5.3627760252365923E-2</v>
      </c>
      <c r="H22">
        <f>INTERCEPT(B17:B21,A17:A21)</f>
        <v>-105.92429022082017</v>
      </c>
      <c r="I22">
        <f>_xlfn.FORECAST.LINEAR(2026,B17:B21,A17:A21)</f>
        <v>2.7255520504731976</v>
      </c>
      <c r="J22">
        <v>3</v>
      </c>
    </row>
    <row r="23" spans="1:10" x14ac:dyDescent="0.3">
      <c r="A23">
        <v>2011</v>
      </c>
      <c r="B23">
        <v>3</v>
      </c>
      <c r="C23" t="s">
        <v>18</v>
      </c>
      <c r="D23" t="s">
        <v>11</v>
      </c>
      <c r="E23" t="s">
        <v>12</v>
      </c>
      <c r="F23" t="s">
        <v>19</v>
      </c>
    </row>
    <row r="24" spans="1:10" x14ac:dyDescent="0.3">
      <c r="A24">
        <v>2014</v>
      </c>
      <c r="B24">
        <v>3</v>
      </c>
      <c r="C24" t="s">
        <v>18</v>
      </c>
      <c r="D24" t="s">
        <v>11</v>
      </c>
      <c r="E24" t="s">
        <v>12</v>
      </c>
      <c r="F24" t="s">
        <v>19</v>
      </c>
    </row>
    <row r="25" spans="1:10" x14ac:dyDescent="0.3">
      <c r="A25">
        <v>2017</v>
      </c>
      <c r="B25">
        <v>4</v>
      </c>
      <c r="C25" t="s">
        <v>18</v>
      </c>
      <c r="D25" t="s">
        <v>11</v>
      </c>
      <c r="E25" t="s">
        <v>12</v>
      </c>
      <c r="F25" t="s">
        <v>19</v>
      </c>
    </row>
    <row r="26" spans="1:10" x14ac:dyDescent="0.3">
      <c r="A26">
        <v>2019</v>
      </c>
      <c r="B26">
        <v>3</v>
      </c>
      <c r="C26" t="s">
        <v>18</v>
      </c>
      <c r="D26" t="s">
        <v>11</v>
      </c>
      <c r="E26" t="s">
        <v>12</v>
      </c>
      <c r="F26" t="s">
        <v>19</v>
      </c>
    </row>
    <row r="27" spans="1:10" x14ac:dyDescent="0.3">
      <c r="A27">
        <v>2023</v>
      </c>
      <c r="B27">
        <v>3</v>
      </c>
      <c r="C27" t="s">
        <v>18</v>
      </c>
      <c r="D27" t="s">
        <v>11</v>
      </c>
      <c r="E27" t="s">
        <v>12</v>
      </c>
      <c r="F27" t="s">
        <v>19</v>
      </c>
    </row>
    <row r="28" spans="1:10" x14ac:dyDescent="0.3">
      <c r="A28">
        <v>2026</v>
      </c>
      <c r="B28">
        <v>3</v>
      </c>
      <c r="C28" t="s">
        <v>18</v>
      </c>
      <c r="D28" t="s">
        <v>11</v>
      </c>
      <c r="E28" t="s">
        <v>12</v>
      </c>
      <c r="F28" t="s">
        <v>19</v>
      </c>
      <c r="G28">
        <f>SLOPE(B23:B27,A23:A27)</f>
        <v>2.3584905660377349E-3</v>
      </c>
      <c r="H28">
        <f>INTERCEPT(B23:B27,A23:A27)</f>
        <v>-1.5566037735849036</v>
      </c>
      <c r="I28">
        <f>_xlfn.FORECAST.LINEAR(2026,B23:B27,A23:A27)</f>
        <v>3.2216981132075473</v>
      </c>
      <c r="J28">
        <v>3</v>
      </c>
    </row>
    <row r="29" spans="1:10" x14ac:dyDescent="0.3">
      <c r="A29">
        <v>2014</v>
      </c>
      <c r="B29">
        <v>3</v>
      </c>
      <c r="C29" t="s">
        <v>21</v>
      </c>
      <c r="D29" t="s">
        <v>11</v>
      </c>
      <c r="E29" t="s">
        <v>12</v>
      </c>
      <c r="F29" t="s">
        <v>20</v>
      </c>
    </row>
    <row r="30" spans="1:10" x14ac:dyDescent="0.3">
      <c r="A30">
        <v>2017</v>
      </c>
      <c r="B30">
        <v>3</v>
      </c>
      <c r="C30" t="s">
        <v>21</v>
      </c>
      <c r="D30" t="s">
        <v>11</v>
      </c>
      <c r="E30" t="s">
        <v>12</v>
      </c>
      <c r="F30" t="s">
        <v>20</v>
      </c>
    </row>
    <row r="31" spans="1:10" x14ac:dyDescent="0.3">
      <c r="A31">
        <v>2019</v>
      </c>
      <c r="B31">
        <v>3</v>
      </c>
      <c r="C31" t="s">
        <v>21</v>
      </c>
      <c r="D31" t="s">
        <v>11</v>
      </c>
      <c r="E31" t="s">
        <v>12</v>
      </c>
      <c r="F31" t="s">
        <v>20</v>
      </c>
    </row>
    <row r="32" spans="1:10" x14ac:dyDescent="0.3">
      <c r="A32">
        <v>2023</v>
      </c>
      <c r="B32">
        <v>3</v>
      </c>
      <c r="C32" t="s">
        <v>21</v>
      </c>
      <c r="D32" t="s">
        <v>11</v>
      </c>
      <c r="E32" t="s">
        <v>12</v>
      </c>
      <c r="F32" t="s">
        <v>20</v>
      </c>
    </row>
    <row r="33" spans="1:10" x14ac:dyDescent="0.3">
      <c r="A33">
        <v>2026</v>
      </c>
      <c r="B33">
        <v>3</v>
      </c>
      <c r="C33" t="s">
        <v>21</v>
      </c>
      <c r="D33" t="s">
        <v>11</v>
      </c>
      <c r="E33" t="s">
        <v>12</v>
      </c>
      <c r="F33" t="s">
        <v>20</v>
      </c>
      <c r="G33">
        <f>SLOPE(B29:B32,A29:A32)</f>
        <v>0</v>
      </c>
      <c r="H33">
        <f>INTERCEPT(B29:B32,A29:A32)</f>
        <v>3</v>
      </c>
      <c r="I33">
        <f>_xlfn.FORECAST.LINEAR(2026,B29:B32,A29:A32)</f>
        <v>3</v>
      </c>
      <c r="J33">
        <v>3</v>
      </c>
    </row>
    <row r="34" spans="1:10" x14ac:dyDescent="0.3">
      <c r="A34">
        <v>2017</v>
      </c>
      <c r="B34">
        <v>3</v>
      </c>
      <c r="C34" t="s">
        <v>22</v>
      </c>
      <c r="D34" t="s">
        <v>11</v>
      </c>
      <c r="E34" t="s">
        <v>12</v>
      </c>
      <c r="F34" t="s">
        <v>19</v>
      </c>
    </row>
    <row r="35" spans="1:10" x14ac:dyDescent="0.3">
      <c r="A35">
        <v>2019</v>
      </c>
      <c r="B35">
        <v>3</v>
      </c>
      <c r="C35" t="s">
        <v>22</v>
      </c>
      <c r="D35" t="s">
        <v>11</v>
      </c>
      <c r="E35" t="s">
        <v>12</v>
      </c>
      <c r="F35" t="s">
        <v>19</v>
      </c>
    </row>
    <row r="36" spans="1:10" x14ac:dyDescent="0.3">
      <c r="A36">
        <v>2023</v>
      </c>
      <c r="B36">
        <v>4</v>
      </c>
      <c r="C36" t="s">
        <v>22</v>
      </c>
      <c r="D36" t="s">
        <v>11</v>
      </c>
      <c r="E36" t="s">
        <v>12</v>
      </c>
      <c r="F36" t="s">
        <v>19</v>
      </c>
    </row>
    <row r="37" spans="1:10" x14ac:dyDescent="0.3">
      <c r="A37">
        <v>2026</v>
      </c>
      <c r="B37">
        <v>4</v>
      </c>
      <c r="C37" t="s">
        <v>22</v>
      </c>
      <c r="D37" t="s">
        <v>11</v>
      </c>
      <c r="E37" t="s">
        <v>12</v>
      </c>
      <c r="F37" t="s">
        <v>19</v>
      </c>
      <c r="G37">
        <f>SLOPE(B34:B36,A34:A36)</f>
        <v>0.17857142857142858</v>
      </c>
      <c r="H37">
        <f>INTERCEPT(B34:B36,A34:A36)</f>
        <v>-357.32142857142861</v>
      </c>
      <c r="I37">
        <f>_xlfn.FORECAST.LINEAR(2026,B34:B36,A34:A36)</f>
        <v>4.4642857142856656</v>
      </c>
      <c r="J37">
        <v>4</v>
      </c>
    </row>
    <row r="38" spans="1:10" x14ac:dyDescent="0.3">
      <c r="A38">
        <v>2014</v>
      </c>
      <c r="B38">
        <v>4</v>
      </c>
      <c r="C38" t="s">
        <v>23</v>
      </c>
      <c r="D38" t="s">
        <v>11</v>
      </c>
      <c r="E38" t="s">
        <v>12</v>
      </c>
      <c r="F38" t="s">
        <v>19</v>
      </c>
    </row>
    <row r="39" spans="1:10" x14ac:dyDescent="0.3">
      <c r="A39">
        <v>2017</v>
      </c>
      <c r="B39">
        <v>2</v>
      </c>
      <c r="C39" t="s">
        <v>23</v>
      </c>
      <c r="D39" t="s">
        <v>11</v>
      </c>
      <c r="E39" t="s">
        <v>12</v>
      </c>
      <c r="F39" t="s">
        <v>19</v>
      </c>
    </row>
    <row r="40" spans="1:10" x14ac:dyDescent="0.3">
      <c r="A40">
        <v>2019</v>
      </c>
      <c r="B40">
        <v>2</v>
      </c>
      <c r="C40" t="s">
        <v>23</v>
      </c>
      <c r="D40" t="s">
        <v>11</v>
      </c>
      <c r="E40" t="s">
        <v>12</v>
      </c>
      <c r="F40" t="s">
        <v>19</v>
      </c>
    </row>
    <row r="41" spans="1:10" x14ac:dyDescent="0.3">
      <c r="A41">
        <v>2023</v>
      </c>
      <c r="B41">
        <v>3</v>
      </c>
      <c r="C41" t="s">
        <v>23</v>
      </c>
      <c r="D41" t="s">
        <v>11</v>
      </c>
      <c r="E41" t="s">
        <v>12</v>
      </c>
      <c r="F41" t="s">
        <v>19</v>
      </c>
    </row>
    <row r="42" spans="1:10" x14ac:dyDescent="0.3">
      <c r="A42">
        <v>2026</v>
      </c>
      <c r="B42">
        <v>2</v>
      </c>
      <c r="C42" t="s">
        <v>23</v>
      </c>
      <c r="D42" t="s">
        <v>11</v>
      </c>
      <c r="E42" t="s">
        <v>12</v>
      </c>
      <c r="F42" t="s">
        <v>19</v>
      </c>
      <c r="G42">
        <f>SLOPE(B38:B41,A38:A41)</f>
        <v>-8.771929824561403E-2</v>
      </c>
      <c r="H42">
        <f>INTERCEPT(B38:B41,A38:A41)</f>
        <v>179.78947368421052</v>
      </c>
      <c r="I42">
        <f>_xlfn.FORECAST.LINEAR(2026,B38:B41,A38:A41)</f>
        <v>2.0701754385964932</v>
      </c>
      <c r="J42">
        <v>2</v>
      </c>
    </row>
    <row r="43" spans="1:10" x14ac:dyDescent="0.3">
      <c r="A43">
        <v>2017</v>
      </c>
      <c r="B43">
        <v>4</v>
      </c>
      <c r="C43" t="s">
        <v>24</v>
      </c>
      <c r="D43" t="s">
        <v>11</v>
      </c>
      <c r="E43" t="s">
        <v>12</v>
      </c>
      <c r="F43" t="s">
        <v>25</v>
      </c>
    </row>
    <row r="44" spans="1:10" x14ac:dyDescent="0.3">
      <c r="A44">
        <v>2019</v>
      </c>
      <c r="B44">
        <v>3</v>
      </c>
      <c r="C44" t="s">
        <v>24</v>
      </c>
      <c r="D44" t="s">
        <v>11</v>
      </c>
      <c r="E44" t="s">
        <v>12</v>
      </c>
      <c r="F44" t="s">
        <v>25</v>
      </c>
    </row>
    <row r="45" spans="1:10" x14ac:dyDescent="0.3">
      <c r="A45">
        <v>2023</v>
      </c>
      <c r="B45">
        <v>4</v>
      </c>
      <c r="C45" t="s">
        <v>24</v>
      </c>
      <c r="D45" t="s">
        <v>11</v>
      </c>
      <c r="E45" t="s">
        <v>12</v>
      </c>
      <c r="F45" t="s">
        <v>25</v>
      </c>
    </row>
    <row r="46" spans="1:10" x14ac:dyDescent="0.3">
      <c r="A46">
        <v>2026</v>
      </c>
      <c r="B46">
        <v>4</v>
      </c>
      <c r="C46" t="s">
        <v>24</v>
      </c>
      <c r="D46" t="s">
        <v>11</v>
      </c>
      <c r="E46" t="s">
        <v>12</v>
      </c>
      <c r="F46" t="s">
        <v>25</v>
      </c>
      <c r="G46">
        <f>SLOPE(B43:B45,A43:A45)</f>
        <v>3.5714285714285705E-2</v>
      </c>
      <c r="H46">
        <f>INTERCEPT(B43:B45,A43:A45)</f>
        <v>-68.464285714285694</v>
      </c>
      <c r="I46">
        <f>_xlfn.FORECAST.LINEAR(2026,B43:B45,A43:A45)</f>
        <v>3.8928571428571388</v>
      </c>
      <c r="J46">
        <v>4</v>
      </c>
    </row>
    <row r="47" spans="1:10" x14ac:dyDescent="0.3">
      <c r="A47">
        <v>2017</v>
      </c>
      <c r="B47">
        <v>2</v>
      </c>
      <c r="C47" t="s">
        <v>26</v>
      </c>
      <c r="D47" t="s">
        <v>11</v>
      </c>
      <c r="E47" t="s">
        <v>12</v>
      </c>
      <c r="F47" t="s">
        <v>27</v>
      </c>
    </row>
    <row r="48" spans="1:10" x14ac:dyDescent="0.3">
      <c r="A48">
        <v>2019</v>
      </c>
      <c r="B48">
        <v>2</v>
      </c>
      <c r="C48" t="s">
        <v>26</v>
      </c>
      <c r="D48" t="s">
        <v>11</v>
      </c>
      <c r="E48" t="s">
        <v>12</v>
      </c>
      <c r="F48" t="s">
        <v>27</v>
      </c>
    </row>
    <row r="49" spans="1:10" x14ac:dyDescent="0.3">
      <c r="A49">
        <v>2023</v>
      </c>
      <c r="B49">
        <v>2</v>
      </c>
      <c r="C49" t="s">
        <v>26</v>
      </c>
      <c r="D49" t="s">
        <v>11</v>
      </c>
      <c r="E49" t="s">
        <v>12</v>
      </c>
      <c r="F49" t="s">
        <v>27</v>
      </c>
    </row>
    <row r="50" spans="1:10" x14ac:dyDescent="0.3">
      <c r="A50">
        <v>2026</v>
      </c>
      <c r="B50">
        <v>2</v>
      </c>
      <c r="C50" t="s">
        <v>26</v>
      </c>
      <c r="D50" t="s">
        <v>11</v>
      </c>
      <c r="E50" t="s">
        <v>12</v>
      </c>
      <c r="F50" t="s">
        <v>27</v>
      </c>
      <c r="G50">
        <f>SLOPE(B47:B49,A47:A49)</f>
        <v>0</v>
      </c>
      <c r="H50">
        <f>INTERCEPT(B47:B49,A47:A49)</f>
        <v>2</v>
      </c>
      <c r="I50">
        <f>_xlfn.FORECAST.LINEAR(2026,B47:B49,A47:A49)</f>
        <v>2</v>
      </c>
      <c r="J50">
        <v>2</v>
      </c>
    </row>
    <row r="51" spans="1:10" x14ac:dyDescent="0.3">
      <c r="A51">
        <v>2008</v>
      </c>
      <c r="B51">
        <v>4</v>
      </c>
      <c r="C51" t="s">
        <v>28</v>
      </c>
      <c r="D51" t="s">
        <v>11</v>
      </c>
      <c r="E51" t="s">
        <v>12</v>
      </c>
      <c r="F51" t="s">
        <v>27</v>
      </c>
    </row>
    <row r="52" spans="1:10" x14ac:dyDescent="0.3">
      <c r="A52">
        <v>2011</v>
      </c>
      <c r="B52">
        <v>4</v>
      </c>
      <c r="C52" t="s">
        <v>28</v>
      </c>
      <c r="D52" t="s">
        <v>11</v>
      </c>
      <c r="E52" t="s">
        <v>12</v>
      </c>
      <c r="F52" t="s">
        <v>27</v>
      </c>
    </row>
    <row r="53" spans="1:10" x14ac:dyDescent="0.3">
      <c r="A53">
        <v>2014</v>
      </c>
      <c r="B53">
        <v>4</v>
      </c>
      <c r="C53" t="s">
        <v>28</v>
      </c>
      <c r="D53" t="s">
        <v>11</v>
      </c>
      <c r="E53" t="s">
        <v>12</v>
      </c>
      <c r="F53" t="s">
        <v>27</v>
      </c>
    </row>
    <row r="54" spans="1:10" x14ac:dyDescent="0.3">
      <c r="A54">
        <v>2017</v>
      </c>
      <c r="B54">
        <v>4</v>
      </c>
      <c r="C54" t="s">
        <v>28</v>
      </c>
      <c r="D54" t="s">
        <v>11</v>
      </c>
      <c r="E54" t="s">
        <v>12</v>
      </c>
      <c r="F54" t="s">
        <v>27</v>
      </c>
    </row>
    <row r="55" spans="1:10" x14ac:dyDescent="0.3">
      <c r="A55">
        <v>2019</v>
      </c>
      <c r="B55">
        <v>4</v>
      </c>
      <c r="C55" t="s">
        <v>28</v>
      </c>
      <c r="D55" t="s">
        <v>11</v>
      </c>
      <c r="E55" t="s">
        <v>12</v>
      </c>
      <c r="F55" t="s">
        <v>27</v>
      </c>
    </row>
    <row r="56" spans="1:10" x14ac:dyDescent="0.3">
      <c r="A56">
        <v>2023</v>
      </c>
      <c r="B56">
        <v>5</v>
      </c>
      <c r="C56" t="s">
        <v>28</v>
      </c>
      <c r="D56" t="s">
        <v>11</v>
      </c>
      <c r="E56" t="s">
        <v>12</v>
      </c>
      <c r="F56" t="s">
        <v>27</v>
      </c>
    </row>
    <row r="57" spans="1:10" x14ac:dyDescent="0.3">
      <c r="A57">
        <v>2026</v>
      </c>
      <c r="B57">
        <v>5</v>
      </c>
      <c r="C57" t="s">
        <v>28</v>
      </c>
      <c r="D57" t="s">
        <v>11</v>
      </c>
      <c r="E57" t="s">
        <v>12</v>
      </c>
      <c r="F57" t="s">
        <v>27</v>
      </c>
      <c r="G57">
        <f>SLOPE(B51:B56,A51:A56)</f>
        <v>5.1339285714285719E-2</v>
      </c>
      <c r="H57">
        <f>INTERCEPT(B51:B56,A51:A56)</f>
        <v>-99.299107142857139</v>
      </c>
      <c r="I57">
        <f>_xlfn.FORECAST.LINEAR(2026,B51:B56,A51:A56)</f>
        <v>4.7142857142857224</v>
      </c>
      <c r="J57">
        <v>5</v>
      </c>
    </row>
    <row r="58" spans="1:10" x14ac:dyDescent="0.3">
      <c r="A58">
        <v>2017</v>
      </c>
      <c r="B58">
        <v>5</v>
      </c>
      <c r="C58" t="s">
        <v>30</v>
      </c>
      <c r="D58" t="s">
        <v>11</v>
      </c>
      <c r="E58" t="s">
        <v>12</v>
      </c>
      <c r="F58" t="s">
        <v>29</v>
      </c>
    </row>
    <row r="59" spans="1:10" x14ac:dyDescent="0.3">
      <c r="A59">
        <v>2019</v>
      </c>
      <c r="B59">
        <v>4</v>
      </c>
      <c r="C59" t="s">
        <v>30</v>
      </c>
      <c r="D59" t="s">
        <v>11</v>
      </c>
      <c r="E59" t="s">
        <v>12</v>
      </c>
      <c r="F59" t="s">
        <v>29</v>
      </c>
    </row>
    <row r="60" spans="1:10" x14ac:dyDescent="0.3">
      <c r="A60">
        <v>2023</v>
      </c>
      <c r="B60">
        <v>3</v>
      </c>
      <c r="C60" t="s">
        <v>30</v>
      </c>
      <c r="D60" t="s">
        <v>11</v>
      </c>
      <c r="E60" t="s">
        <v>12</v>
      </c>
      <c r="F60" t="s">
        <v>29</v>
      </c>
    </row>
    <row r="61" spans="1:10" x14ac:dyDescent="0.3">
      <c r="A61">
        <v>2026</v>
      </c>
      <c r="B61">
        <v>2</v>
      </c>
      <c r="C61" t="s">
        <v>30</v>
      </c>
      <c r="D61" t="s">
        <v>11</v>
      </c>
      <c r="E61" t="s">
        <v>12</v>
      </c>
      <c r="F61" t="s">
        <v>29</v>
      </c>
      <c r="G61">
        <f>SLOPE(B58:B60,A58:A60)</f>
        <v>-0.3214285714285714</v>
      </c>
      <c r="H61">
        <f>INTERCEPT(B58:B60,A58:A60)</f>
        <v>653.17857142857144</v>
      </c>
      <c r="I61">
        <f>_xlfn.FORECAST.LINEAR(2026,B58:B60,A58:A60)</f>
        <v>1.9642857142857792</v>
      </c>
      <c r="J61">
        <v>2</v>
      </c>
    </row>
    <row r="62" spans="1:10" x14ac:dyDescent="0.3">
      <c r="A62">
        <v>2014</v>
      </c>
      <c r="B62">
        <v>3</v>
      </c>
      <c r="C62" t="s">
        <v>31</v>
      </c>
      <c r="D62" t="s">
        <v>11</v>
      </c>
      <c r="E62" t="s">
        <v>12</v>
      </c>
      <c r="F62" t="s">
        <v>29</v>
      </c>
    </row>
    <row r="63" spans="1:10" x14ac:dyDescent="0.3">
      <c r="A63">
        <v>2017</v>
      </c>
      <c r="B63">
        <v>2</v>
      </c>
      <c r="C63" t="s">
        <v>31</v>
      </c>
      <c r="D63" t="s">
        <v>11</v>
      </c>
      <c r="E63" t="s">
        <v>12</v>
      </c>
      <c r="F63" t="s">
        <v>29</v>
      </c>
    </row>
    <row r="64" spans="1:10" x14ac:dyDescent="0.3">
      <c r="A64">
        <v>2019</v>
      </c>
      <c r="B64">
        <v>2</v>
      </c>
      <c r="C64" t="s">
        <v>31</v>
      </c>
      <c r="D64" t="s">
        <v>11</v>
      </c>
      <c r="E64" t="s">
        <v>12</v>
      </c>
      <c r="F64" t="s">
        <v>29</v>
      </c>
    </row>
    <row r="65" spans="1:10" x14ac:dyDescent="0.3">
      <c r="A65">
        <v>2023</v>
      </c>
      <c r="B65">
        <v>3</v>
      </c>
      <c r="C65" t="s">
        <v>31</v>
      </c>
      <c r="D65" t="s">
        <v>11</v>
      </c>
      <c r="E65" t="s">
        <v>12</v>
      </c>
      <c r="F65" t="s">
        <v>29</v>
      </c>
    </row>
    <row r="66" spans="1:10" x14ac:dyDescent="0.3">
      <c r="A66">
        <v>2026</v>
      </c>
      <c r="B66">
        <v>3</v>
      </c>
      <c r="C66" t="s">
        <v>31</v>
      </c>
      <c r="D66" t="s">
        <v>11</v>
      </c>
      <c r="E66" t="s">
        <v>12</v>
      </c>
      <c r="F66" t="s">
        <v>29</v>
      </c>
      <c r="G66">
        <f>SLOPE(B62:B65,A62:A65)</f>
        <v>1.1695906432748537E-2</v>
      </c>
      <c r="H66">
        <f>INTERCEPT(B62:B65,A62:A65)</f>
        <v>-21.105263157894736</v>
      </c>
      <c r="I66">
        <f>_xlfn.FORECAST.LINEAR(2026,B62:B65,A62:A65)</f>
        <v>2.5906432748538002</v>
      </c>
      <c r="J66">
        <v>3</v>
      </c>
    </row>
    <row r="67" spans="1:10" x14ac:dyDescent="0.3">
      <c r="A67">
        <v>2005</v>
      </c>
      <c r="B67">
        <v>3</v>
      </c>
      <c r="C67" t="s">
        <v>32</v>
      </c>
      <c r="D67" t="s">
        <v>11</v>
      </c>
      <c r="E67" t="s">
        <v>12</v>
      </c>
      <c r="F67" t="s">
        <v>33</v>
      </c>
    </row>
    <row r="68" spans="1:10" x14ac:dyDescent="0.3">
      <c r="A68">
        <v>2008</v>
      </c>
      <c r="B68">
        <v>5</v>
      </c>
      <c r="C68" t="s">
        <v>32</v>
      </c>
      <c r="D68" t="s">
        <v>11</v>
      </c>
      <c r="E68" t="s">
        <v>12</v>
      </c>
      <c r="F68" t="s">
        <v>33</v>
      </c>
    </row>
    <row r="69" spans="1:10" x14ac:dyDescent="0.3">
      <c r="A69">
        <v>2011</v>
      </c>
      <c r="B69">
        <v>3</v>
      </c>
      <c r="C69" t="s">
        <v>32</v>
      </c>
      <c r="D69" t="s">
        <v>11</v>
      </c>
      <c r="E69" t="s">
        <v>12</v>
      </c>
      <c r="F69" t="s">
        <v>33</v>
      </c>
    </row>
    <row r="70" spans="1:10" x14ac:dyDescent="0.3">
      <c r="A70">
        <v>2014</v>
      </c>
      <c r="B70">
        <v>4</v>
      </c>
      <c r="C70" t="s">
        <v>32</v>
      </c>
      <c r="D70" t="s">
        <v>11</v>
      </c>
      <c r="E70" t="s">
        <v>12</v>
      </c>
      <c r="F70" t="s">
        <v>33</v>
      </c>
    </row>
    <row r="71" spans="1:10" x14ac:dyDescent="0.3">
      <c r="A71">
        <v>2017</v>
      </c>
      <c r="B71">
        <v>3</v>
      </c>
      <c r="C71" t="s">
        <v>32</v>
      </c>
      <c r="D71" t="s">
        <v>11</v>
      </c>
      <c r="E71" t="s">
        <v>12</v>
      </c>
      <c r="F71" t="s">
        <v>33</v>
      </c>
    </row>
    <row r="72" spans="1:10" x14ac:dyDescent="0.3">
      <c r="A72">
        <v>2019</v>
      </c>
      <c r="B72">
        <v>3</v>
      </c>
      <c r="C72" t="s">
        <v>32</v>
      </c>
      <c r="D72" t="s">
        <v>11</v>
      </c>
      <c r="E72" t="s">
        <v>12</v>
      </c>
      <c r="F72" t="s">
        <v>33</v>
      </c>
    </row>
    <row r="73" spans="1:10" x14ac:dyDescent="0.3">
      <c r="A73">
        <v>2023</v>
      </c>
      <c r="B73">
        <v>4</v>
      </c>
      <c r="C73" t="s">
        <v>32</v>
      </c>
      <c r="D73" t="s">
        <v>11</v>
      </c>
      <c r="E73" t="s">
        <v>12</v>
      </c>
      <c r="F73" t="s">
        <v>33</v>
      </c>
    </row>
    <row r="74" spans="1:10" x14ac:dyDescent="0.3">
      <c r="A74">
        <v>2026</v>
      </c>
      <c r="B74">
        <v>3</v>
      </c>
      <c r="C74" t="s">
        <v>32</v>
      </c>
      <c r="D74" t="s">
        <v>11</v>
      </c>
      <c r="E74" t="s">
        <v>12</v>
      </c>
      <c r="F74" t="s">
        <v>33</v>
      </c>
      <c r="G74">
        <f>SLOPE(B67:B73,A67:A73)</f>
        <v>-1.0083036773428235E-2</v>
      </c>
      <c r="H74">
        <f>INTERCEPT(B67:B73,A67:A73)</f>
        <v>23.877224199288264</v>
      </c>
      <c r="I74">
        <f>_xlfn.FORECAST.LINEAR(2026,B67:B73,A67:A73)</f>
        <v>3.4489916963226612</v>
      </c>
      <c r="J74">
        <v>3</v>
      </c>
    </row>
    <row r="75" spans="1:10" x14ac:dyDescent="0.3">
      <c r="A75">
        <v>2017</v>
      </c>
      <c r="B75">
        <v>2</v>
      </c>
      <c r="C75" t="s">
        <v>35</v>
      </c>
      <c r="D75" t="s">
        <v>11</v>
      </c>
      <c r="E75" t="s">
        <v>12</v>
      </c>
      <c r="F75" t="s">
        <v>34</v>
      </c>
    </row>
    <row r="76" spans="1:10" x14ac:dyDescent="0.3">
      <c r="A76">
        <v>2019</v>
      </c>
      <c r="B76">
        <v>3</v>
      </c>
      <c r="C76" t="s">
        <v>35</v>
      </c>
      <c r="D76" t="s">
        <v>11</v>
      </c>
      <c r="E76" t="s">
        <v>12</v>
      </c>
      <c r="F76" t="s">
        <v>34</v>
      </c>
    </row>
    <row r="77" spans="1:10" x14ac:dyDescent="0.3">
      <c r="A77">
        <v>2023</v>
      </c>
      <c r="B77">
        <v>3</v>
      </c>
      <c r="C77" t="s">
        <v>35</v>
      </c>
      <c r="D77" t="s">
        <v>11</v>
      </c>
      <c r="E77" t="s">
        <v>12</v>
      </c>
      <c r="F77" t="s">
        <v>34</v>
      </c>
    </row>
    <row r="78" spans="1:10" x14ac:dyDescent="0.3">
      <c r="A78">
        <v>2026</v>
      </c>
      <c r="B78">
        <v>4</v>
      </c>
      <c r="C78" t="s">
        <v>35</v>
      </c>
      <c r="D78" t="s">
        <v>11</v>
      </c>
      <c r="E78" t="s">
        <v>12</v>
      </c>
      <c r="F78" t="s">
        <v>34</v>
      </c>
    </row>
    <row r="79" spans="1:10" x14ac:dyDescent="0.3">
      <c r="A79">
        <v>2005</v>
      </c>
      <c r="B79">
        <v>2</v>
      </c>
      <c r="C79" t="s">
        <v>36</v>
      </c>
      <c r="D79" t="s">
        <v>11</v>
      </c>
      <c r="E79" t="s">
        <v>12</v>
      </c>
      <c r="F79" t="s">
        <v>34</v>
      </c>
      <c r="G79">
        <f>SLOPE(B75:B77,A75:A77)</f>
        <v>0.14285714285714285</v>
      </c>
      <c r="H79">
        <f>INTERCEPT(B75:B77,A75:A77)</f>
        <v>-285.85714285714283</v>
      </c>
      <c r="I79">
        <f>_xlfn.FORECAST.LINEAR(2026,B75:B77,A75:A77)</f>
        <v>3.5714285714285552</v>
      </c>
      <c r="J79">
        <v>4</v>
      </c>
    </row>
    <row r="80" spans="1:10" x14ac:dyDescent="0.3">
      <c r="A80">
        <v>2008</v>
      </c>
      <c r="B80">
        <v>2</v>
      </c>
      <c r="C80" t="s">
        <v>36</v>
      </c>
      <c r="D80" t="s">
        <v>11</v>
      </c>
      <c r="E80" t="s">
        <v>12</v>
      </c>
      <c r="F80" t="s">
        <v>33</v>
      </c>
    </row>
    <row r="81" spans="1:10" x14ac:dyDescent="0.3">
      <c r="A81">
        <v>2011</v>
      </c>
      <c r="B81">
        <v>2</v>
      </c>
      <c r="C81" t="s">
        <v>36</v>
      </c>
      <c r="D81" t="s">
        <v>11</v>
      </c>
      <c r="E81" t="s">
        <v>12</v>
      </c>
      <c r="F81" t="s">
        <v>33</v>
      </c>
    </row>
    <row r="82" spans="1:10" x14ac:dyDescent="0.3">
      <c r="A82">
        <v>2014</v>
      </c>
      <c r="B82">
        <v>2</v>
      </c>
      <c r="C82" t="s">
        <v>36</v>
      </c>
      <c r="D82" t="s">
        <v>11</v>
      </c>
      <c r="E82" t="s">
        <v>12</v>
      </c>
      <c r="F82" t="s">
        <v>33</v>
      </c>
    </row>
    <row r="83" spans="1:10" x14ac:dyDescent="0.3">
      <c r="A83">
        <v>2017</v>
      </c>
      <c r="B83">
        <v>2</v>
      </c>
      <c r="C83" t="s">
        <v>36</v>
      </c>
      <c r="D83" t="s">
        <v>11</v>
      </c>
      <c r="E83" t="s">
        <v>12</v>
      </c>
      <c r="F83" t="s">
        <v>33</v>
      </c>
    </row>
    <row r="84" spans="1:10" x14ac:dyDescent="0.3">
      <c r="A84">
        <v>2019</v>
      </c>
      <c r="B84">
        <v>1</v>
      </c>
      <c r="C84" t="s">
        <v>36</v>
      </c>
      <c r="D84" t="s">
        <v>11</v>
      </c>
      <c r="E84" t="s">
        <v>12</v>
      </c>
      <c r="F84" t="s">
        <v>33</v>
      </c>
    </row>
    <row r="85" spans="1:10" x14ac:dyDescent="0.3">
      <c r="A85">
        <v>2023</v>
      </c>
      <c r="B85">
        <v>2</v>
      </c>
      <c r="C85" t="s">
        <v>36</v>
      </c>
      <c r="D85" t="s">
        <v>11</v>
      </c>
      <c r="E85" t="s">
        <v>12</v>
      </c>
      <c r="F85" t="s">
        <v>33</v>
      </c>
    </row>
    <row r="86" spans="1:10" x14ac:dyDescent="0.3">
      <c r="A86">
        <v>2026</v>
      </c>
      <c r="B86">
        <v>2</v>
      </c>
      <c r="C86" t="s">
        <v>36</v>
      </c>
      <c r="D86" t="s">
        <v>11</v>
      </c>
      <c r="E86" t="s">
        <v>12</v>
      </c>
      <c r="F86" t="s">
        <v>33</v>
      </c>
      <c r="G86">
        <f>SLOPE(B79:B85,A79:A85)</f>
        <v>-2.1352313167259791E-2</v>
      </c>
      <c r="H86">
        <f>INTERCEPT(B79:B85,A79:A85)</f>
        <v>44.857651245551608</v>
      </c>
      <c r="I86">
        <f>_xlfn.FORECAST.LINEAR(2026,B79:B85,A79:A85)</f>
        <v>1.597864768683273</v>
      </c>
      <c r="J86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Stark</dc:creator>
  <cp:lastModifiedBy>Giovanna Stark</cp:lastModifiedBy>
  <dcterms:created xsi:type="dcterms:W3CDTF">2026-03-22T18:36:02Z</dcterms:created>
  <dcterms:modified xsi:type="dcterms:W3CDTF">2026-03-22T19:59:25Z</dcterms:modified>
</cp:coreProperties>
</file>